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d Matrix" sheetId="1" state="visible" r:id="rId3"/>
    <sheet name="Notes &amp; Sources" sheetId="2" state="visible" r:id="rId4"/>
    <sheet name="E-Invoicing 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<sst xmlns="http://schemas.openxmlformats.org/spreadsheetml/2006/main" count="64" uniqueCount="63">
  <si>
    <t xml:space="preserve">UAE SME POS + SaaS ERP: Weighted Feature Matrix</t>
  </si>
  <si>
    <t xml:space="preserve">Competitor scores are indicative estimates (not vendor-verified). Validate before external use.</t>
  </si>
  <si>
    <t xml:space="preserve">Legend: blue = editable inputs (weights, scores 0-5); black = formulas; yellow = your product's score column (enter e.g. 4).</t>
  </si>
  <si>
    <t xml:space="preserve">Max score per criterion:</t>
  </si>
  <si>
    <t xml:space="preserve">Criterion</t>
  </si>
  <si>
    <t xml:space="preserve">Weight</t>
  </si>
  <si>
    <t xml:space="preserve">Zoho Books</t>
  </si>
  <si>
    <t xml:space="preserve">Odoo</t>
  </si>
  <si>
    <t xml:space="preserve">Foodics</t>
  </si>
  <si>
    <t xml:space="preserve">Xero / QuickBooks</t>
  </si>
  <si>
    <t xml:space="preserve">Your Product</t>
  </si>
  <si>
    <t xml:space="preserve">Best Competitor</t>
  </si>
  <si>
    <t xml:space="preserve">Gap vs Best</t>
  </si>
  <si>
    <t xml:space="preserve">E-invoicing (PINT AE / ASP)</t>
  </si>
  <si>
    <t xml:space="preserve">VAT + Corporate Tax automation</t>
  </si>
  <si>
    <t xml:space="preserve">POS + ERP real-time integration</t>
  </si>
  <si>
    <t xml:space="preserve">Arabic / bilingual</t>
  </si>
  <si>
    <t xml:space="preserve">UAE payments + marketplaces</t>
  </si>
  <si>
    <t xml:space="preserve">Payroll / WPS</t>
  </si>
  <si>
    <t xml:space="preserve">Vertical templates</t>
  </si>
  <si>
    <t xml:space="preserve">Offline-first POS</t>
  </si>
  <si>
    <t xml:space="preserve">UAE data residency</t>
  </si>
  <si>
    <t xml:space="preserve">SME pricing / onboarding</t>
  </si>
  <si>
    <t xml:space="preserve">Total weight / Weighted score (out of 100)</t>
  </si>
  <si>
    <t xml:space="preserve">Rank</t>
  </si>
  <si>
    <t xml:space="preserve">Check: weights should total 100</t>
  </si>
  <si>
    <t xml:space="preserve">Assumptions</t>
  </si>
  <si>
    <t xml:space="preserve">Scale</t>
  </si>
  <si>
    <t xml:space="preserve">0 = absent, 5 = best-in-class native capability. All competitor scores are the analyst's indicative estimates.</t>
  </si>
  <si>
    <t xml:space="preserve">Weights</t>
  </si>
  <si>
    <t xml:space="preserve">Judgment-based; compliance (e-invoicing, VAT/CT) weighted highest given UAE mandate timing. Edit freely on the Scored Matrix sheet.</t>
  </si>
  <si>
    <t xml:space="preserve">Verification status</t>
  </si>
  <si>
    <t xml:space="preserve">Only the e-invoicing row was informed by web research; other rows are unverified. Odoo, Foodics and Xero/QuickBooks were not individually researched.</t>
  </si>
  <si>
    <t xml:space="preserve">Sources</t>
  </si>
  <si>
    <t xml:space="preserve">Zoho Books e-invoicing</t>
  </si>
  <si>
    <t xml:space="preserve">ClearTax page: Zoho Books does not transmit natively on Peppol; ASP connector approach. https://www.cleartax.com/ae/uae-e-invoicing-zoho-integration</t>
  </si>
  <si>
    <t xml:space="preserve">Third-party connectors</t>
  </si>
  <si>
    <t xml:space="preserve">InvoiceUAE (Product Hunt) connects QuickBooks, Sage, Odoo, Dynamics, Zoho Books, Xero to ASPs. https://www.producthunt.com/products/invoiceuae</t>
  </si>
  <si>
    <t xml:space="preserve">UAE timeline</t>
  </si>
  <si>
    <t xml:space="preserve">https://www.e-invoice.app/countries/AE and https://sovos.com/vat/tax-rules/uae-e-invoicing/ (sources differ on large-business dates; confirm with MoF/FTA).</t>
  </si>
  <si>
    <t xml:space="preserve">Milestone</t>
  </si>
  <si>
    <t xml:space="preserve">Date</t>
  </si>
  <si>
    <t xml:space="preserve">Applies to</t>
  </si>
  <si>
    <t xml:space="preserve">Source note</t>
  </si>
  <si>
    <t xml:space="preserve">Appoint ASP</t>
  </si>
  <si>
    <t xml:space="preserve">31 Mar 2027</t>
  </si>
  <si>
    <t xml:space="preserve">SMEs (revenue &lt; AED 50M) and government</t>
  </si>
  <si>
    <t xml:space="preserve">e-invoice.app / Sovos</t>
  </si>
  <si>
    <t xml:space="preserve">Mandatory e-invoicing</t>
  </si>
  <si>
    <t xml:space="preserve">1 Jul 2027</t>
  </si>
  <si>
    <t xml:space="preserve">SMEs (revenue &lt; AED 50M)</t>
  </si>
  <si>
    <t xml:space="preserve">Sovos / VATit</t>
  </si>
  <si>
    <t xml:space="preserve">Mandatory B2G e-invoicing</t>
  </si>
  <si>
    <t xml:space="preserve">1 Oct 2027</t>
  </si>
  <si>
    <t xml:space="preserve">Government entities</t>
  </si>
  <si>
    <t xml:space="preserve">Large-business ASP appointment</t>
  </si>
  <si>
    <t xml:space="preserve">31 Jul 2026 or 30 Oct 2026 (sources differ)</t>
  </si>
  <si>
    <t xml:space="preserve">Revenue &gt;= AED 50M</t>
  </si>
  <si>
    <t xml:space="preserve">Verify with MoF/FTA</t>
  </si>
  <si>
    <t xml:space="preserve">Penalty: no ASP / system</t>
  </si>
  <si>
    <t xml:space="preserve">AED 5,000 per month</t>
  </si>
  <si>
    <t xml:space="preserve">All in-scope</t>
  </si>
  <si>
    <t xml:space="preserve">e-invoice.app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</si>
</sst>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5</v>
      </c>
    </row>
    <row r="6" customFormat="false" ht="31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</row>
    <row r="7" customFormat="false" ht="15" hidden="false" customHeight="false" outlineLevel="0" collapsed="false">
      <c r="A7" s="7" t="s">
        <v>13</v>
      </c>
      <c r="B7" s="8" t="n">
        <v>20</v>
      </c>
      <c r="C7" s="8" t="n">
        <v>3</v>
      </c>
      <c r="D7" s="8" t="n">
        <v>3</v>
      </c>
      <c r="E7" s="8" t="n">
        <v>2</v>
      </c>
      <c r="F7" s="8" t="n">
        <v>2</v>
      </c>
      <c r="G7" s="9"/>
      <c r="H7" s="10" t="n">
        <f aca="false">MAX(C7:F7)</f>
        <v>3</v>
      </c>
      <c r="I7" s="10" t="str">
        <f aca="false">IF(G7="","",G7-H7)</f>
        <v/>
      </c>
    </row>
    <row r="8" customFormat="false" ht="15" hidden="false" customHeight="false" outlineLevel="0" collapsed="false">
      <c r="A8" s="7" t="s">
        <v>14</v>
      </c>
      <c r="B8" s="8" t="n">
        <v>15</v>
      </c>
      <c r="C8" s="8" t="n">
        <v>4</v>
      </c>
      <c r="D8" s="8" t="n">
        <v>3</v>
      </c>
      <c r="E8" s="8" t="n">
        <v>1</v>
      </c>
      <c r="F8" s="8" t="n">
        <v>3</v>
      </c>
      <c r="G8" s="9"/>
      <c r="H8" s="10" t="n">
        <f aca="false">MAX(C8:F8)</f>
        <v>4</v>
      </c>
      <c r="I8" s="10" t="str">
        <f aca="false">IF(G8="","",G8-H8)</f>
        <v/>
      </c>
    </row>
    <row r="9" customFormat="false" ht="15" hidden="false" customHeight="false" outlineLevel="0" collapsed="false">
      <c r="A9" s="7" t="s">
        <v>15</v>
      </c>
      <c r="B9" s="8" t="n">
        <v>15</v>
      </c>
      <c r="C9" s="8" t="n">
        <v>2</v>
      </c>
      <c r="D9" s="8" t="n">
        <v>5</v>
      </c>
      <c r="E9" s="8" t="n">
        <v>2</v>
      </c>
      <c r="F9" s="8" t="n">
        <v>1</v>
      </c>
      <c r="G9" s="9"/>
      <c r="H9" s="10" t="n">
        <f aca="false">MAX(C9:F9)</f>
        <v>5</v>
      </c>
      <c r="I9" s="10" t="str">
        <f aca="false">IF(G9="","",G9-H9)</f>
        <v/>
      </c>
    </row>
    <row r="10" customFormat="false" ht="15" hidden="false" customHeight="false" outlineLevel="0" collapsed="false">
      <c r="A10" s="7" t="s">
        <v>16</v>
      </c>
      <c r="B10" s="8" t="n">
        <v>8</v>
      </c>
      <c r="C10" s="8" t="n">
        <v>3</v>
      </c>
      <c r="D10" s="8" t="n">
        <v>4</v>
      </c>
      <c r="E10" s="8" t="n">
        <v>5</v>
      </c>
      <c r="F10" s="8" t="n">
        <v>1</v>
      </c>
      <c r="G10" s="9"/>
      <c r="H10" s="10" t="n">
        <f aca="false">MAX(C10:F10)</f>
        <v>5</v>
      </c>
      <c r="I10" s="10" t="str">
        <f aca="false">IF(G10="","",G10-H10)</f>
        <v/>
      </c>
    </row>
    <row r="11" customFormat="false" ht="15" hidden="false" customHeight="false" outlineLevel="0" collapsed="false">
      <c r="A11" s="7" t="s">
        <v>17</v>
      </c>
      <c r="B11" s="8" t="n">
        <v>10</v>
      </c>
      <c r="C11" s="8" t="n">
        <v>3</v>
      </c>
      <c r="D11" s="8" t="n">
        <v>3</v>
      </c>
      <c r="E11" s="8" t="n">
        <v>4</v>
      </c>
      <c r="F11" s="8" t="n">
        <v>2</v>
      </c>
      <c r="G11" s="9"/>
      <c r="H11" s="10" t="n">
        <f aca="false">MAX(C11:F11)</f>
        <v>4</v>
      </c>
      <c r="I11" s="10" t="str">
        <f aca="false">IF(G11="","",G11-H11)</f>
        <v/>
      </c>
    </row>
    <row r="12" customFormat="false" ht="15" hidden="false" customHeight="false" outlineLevel="0" collapsed="false">
      <c r="A12" s="7" t="s">
        <v>18</v>
      </c>
      <c r="B12" s="8" t="n">
        <v>8</v>
      </c>
      <c r="C12" s="8" t="n">
        <v>2</v>
      </c>
      <c r="D12" s="8" t="n">
        <v>3</v>
      </c>
      <c r="E12" s="8" t="n">
        <v>1</v>
      </c>
      <c r="F12" s="8" t="n">
        <v>1</v>
      </c>
      <c r="G12" s="9"/>
      <c r="H12" s="10" t="n">
        <f aca="false">MAX(C12:F12)</f>
        <v>3</v>
      </c>
      <c r="I12" s="10" t="str">
        <f aca="false">IF(G12="","",G12-H12)</f>
        <v/>
      </c>
    </row>
    <row r="13" customFormat="false" ht="15" hidden="false" customHeight="false" outlineLevel="0" collapsed="false">
      <c r="A13" s="7" t="s">
        <v>19</v>
      </c>
      <c r="B13" s="8" t="n">
        <v>8</v>
      </c>
      <c r="C13" s="8" t="n">
        <v>2</v>
      </c>
      <c r="D13" s="8" t="n">
        <v>3</v>
      </c>
      <c r="E13" s="8" t="n">
        <v>3</v>
      </c>
      <c r="F13" s="8" t="n">
        <v>1</v>
      </c>
      <c r="G13" s="9"/>
      <c r="H13" s="10" t="n">
        <f aca="false">MAX(C13:F13)</f>
        <v>3</v>
      </c>
      <c r="I13" s="10" t="str">
        <f aca="false">IF(G13="","",G13-H13)</f>
        <v/>
      </c>
    </row>
    <row r="14" customFormat="false" ht="15" hidden="false" customHeight="false" outlineLevel="0" collapsed="false">
      <c r="A14" s="7" t="s">
        <v>20</v>
      </c>
      <c r="B14" s="8" t="n">
        <v>6</v>
      </c>
      <c r="C14" s="8" t="n">
        <v>1</v>
      </c>
      <c r="D14" s="8" t="n">
        <v>4</v>
      </c>
      <c r="E14" s="8" t="n">
        <v>4</v>
      </c>
      <c r="F14" s="8" t="n">
        <v>1</v>
      </c>
      <c r="G14" s="9"/>
      <c r="H14" s="10" t="n">
        <f aca="false">MAX(C14:F14)</f>
        <v>4</v>
      </c>
      <c r="I14" s="10" t="str">
        <f aca="false">IF(G14="","",G14-H14)</f>
        <v/>
      </c>
    </row>
    <row r="15" customFormat="false" ht="15" hidden="false" customHeight="false" outlineLevel="0" collapsed="false">
      <c r="A15" s="7" t="s">
        <v>21</v>
      </c>
      <c r="B15" s="8" t="n">
        <v>5</v>
      </c>
      <c r="C15" s="8" t="n">
        <v>4</v>
      </c>
      <c r="D15" s="8" t="n">
        <v>3</v>
      </c>
      <c r="E15" s="8" t="n">
        <v>3</v>
      </c>
      <c r="F15" s="8" t="n">
        <v>1</v>
      </c>
      <c r="G15" s="9"/>
      <c r="H15" s="10" t="n">
        <f aca="false">MAX(C15:F15)</f>
        <v>4</v>
      </c>
      <c r="I15" s="10" t="str">
        <f aca="false">IF(G15="","",G15-H15)</f>
        <v/>
      </c>
    </row>
    <row r="16" customFormat="false" ht="15" hidden="false" customHeight="false" outlineLevel="0" collapsed="false">
      <c r="A16" s="7" t="s">
        <v>22</v>
      </c>
      <c r="B16" s="8" t="n">
        <v>5</v>
      </c>
      <c r="C16" s="8" t="n">
        <v>5</v>
      </c>
      <c r="D16" s="8" t="n">
        <v>3</v>
      </c>
      <c r="E16" s="8" t="n">
        <v>3</v>
      </c>
      <c r="F16" s="8" t="n">
        <v>4</v>
      </c>
      <c r="G16" s="9"/>
      <c r="H16" s="10" t="n">
        <f aca="false">MAX(C16:F16)</f>
        <v>5</v>
      </c>
      <c r="I16" s="10" t="str">
        <f aca="false">IF(G16="","",G16-H16)</f>
        <v/>
      </c>
    </row>
    <row r="17" customFormat="false" ht="15" hidden="false" customHeight="false" outlineLevel="0" collapsed="false">
      <c r="A17" s="11" t="s">
        <v>23</v>
      </c>
      <c r="B17" s="12" t="n">
        <f aca="false">SUM(B7:B16)</f>
        <v>100</v>
      </c>
      <c r="C17" s="13" t="n">
        <f aca="false">SUMPRODUCT($B$7:$B$16,C7:C16)/($B$4*$B$17)*100</f>
        <v>57.4</v>
      </c>
      <c r="D17" s="13" t="n">
        <f aca="false">SUMPRODUCT($B$7:$B$16,D7:D16)/($B$4*$B$17)*100</f>
        <v>68.8</v>
      </c>
      <c r="E17" s="13" t="n">
        <f aca="false">SUMPRODUCT($B$7:$B$16,E7:E16)/($B$4*$B$17)*100</f>
        <v>50.2</v>
      </c>
      <c r="F17" s="13" t="n">
        <f aca="false">SUMPRODUCT($B$7:$B$16,F7:F16)/($B$4*$B$17)*100</f>
        <v>35</v>
      </c>
      <c r="G17" s="13" t="n">
        <f aca="false">SUMPRODUCT($B$7:$B$16,G7:G16)/($B$4*$B$17)*100</f>
        <v>0</v>
      </c>
      <c r="H17" s="12"/>
      <c r="I17" s="12"/>
    </row>
    <row r="18" customFormat="false" ht="15" hidden="false" customHeight="false" outlineLevel="0" collapsed="false">
      <c r="A18" s="4" t="s">
        <v>24</v>
      </c>
      <c r="C18" s="14" t="n">
        <f aca="false">RANK(C17,$C$17:$G$17)</f>
        <v>2</v>
      </c>
      <c r="D18" s="14" t="n">
        <f aca="false">RANK(D17,$C$17:$G$17)</f>
        <v>1</v>
      </c>
      <c r="E18" s="14" t="n">
        <f aca="false">RANK(E17,$C$17:$G$17)</f>
        <v>3</v>
      </c>
      <c r="F18" s="14" t="n">
        <f aca="false">RANK(F17,$C$17:$G$17)</f>
        <v>4</v>
      </c>
      <c r="G18" s="14" t="n">
        <f aca="false">RANK(G17,$C$17:$G$17)</f>
        <v>5</v>
      </c>
    </row>
    <row r="19" customFormat="false" ht="15" hidden="false" customHeight="false" outlineLevel="0" collapsed="false">
      <c r="A19" s="15" t="s">
        <v>25</v>
      </c>
      <c r="B19" s="15" t="str">
        <f aca="false">IF(B17=100,"OK","Weights != 100")</f>
        <v>OK</v>
      </c>
    </row>
  </sheetData>
  <conditionalFormatting sqref="C7:G16">
    <cfRule type="colorScale" priority="2">
      <colorScale>
        <cfvo type="num" val="0"/>
        <cfvo type="num" val="2.5"/>
        <cfvo type="num" val="5"/>
        <color rgb="FFF8CBAD"/>
        <color rgb="FFFFF2CC"/>
        <color rgb="FFC6E0B4"/>
      </colorScale>
    </cfRule>
  </conditionalFormatting>
  <dataValidations count="1">
    <dataValidation allowBlank="true" error="Enter 0-5" errorStyle="stop" operator="between" showDropDown="false" showErrorMessage="true" showInputMessage="false" sqref="C7:G16" type="decimal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4" t="s">
        <v>26</v>
      </c>
      <c r="B1" s="16"/>
    </row>
    <row r="2" customFormat="false" ht="15" hidden="false" customHeight="false" outlineLevel="0" collapsed="false">
      <c r="A2" s="4" t="s">
        <v>27</v>
      </c>
      <c r="B2" s="16" t="s">
        <v>28</v>
      </c>
    </row>
    <row r="3" customFormat="false" ht="23.85" hidden="false" customHeight="false" outlineLevel="0" collapsed="false">
      <c r="A3" s="4" t="s">
        <v>29</v>
      </c>
      <c r="B3" s="16" t="s">
        <v>30</v>
      </c>
    </row>
    <row r="4" customFormat="false" ht="23.85" hidden="false" customHeight="false" outlineLevel="0" collapsed="false">
      <c r="A4" s="4" t="s">
        <v>31</v>
      </c>
      <c r="B4" s="16" t="s">
        <v>32</v>
      </c>
    </row>
    <row r="5" customFormat="false" ht="15" hidden="false" customHeight="false" outlineLevel="0" collapsed="false">
      <c r="A5" s="4"/>
      <c r="B5" s="16"/>
    </row>
    <row r="6" customFormat="false" ht="15" hidden="false" customHeight="false" outlineLevel="0" collapsed="false">
      <c r="A6" s="4" t="s">
        <v>33</v>
      </c>
      <c r="B6" s="16"/>
    </row>
    <row r="7" customFormat="false" ht="23.85" hidden="false" customHeight="false" outlineLevel="0" collapsed="false">
      <c r="A7" s="4" t="s">
        <v>34</v>
      </c>
      <c r="B7" s="16" t="s">
        <v>35</v>
      </c>
    </row>
    <row r="8" customFormat="false" ht="23.85" hidden="false" customHeight="false" outlineLevel="0" collapsed="false">
      <c r="A8" s="4" t="s">
        <v>36</v>
      </c>
      <c r="B8" s="16" t="s">
        <v>37</v>
      </c>
    </row>
    <row r="9" customFormat="false" ht="23.85" hidden="false" customHeight="false" outlineLevel="0" collapsed="false">
      <c r="A9" s="4" t="s">
        <v>38</v>
      </c>
      <c r="B9" s="1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7" t="s">
        <v>40</v>
      </c>
      <c r="B1" s="17" t="s">
        <v>41</v>
      </c>
      <c r="C1" s="17" t="s">
        <v>42</v>
      </c>
      <c r="D1" s="17" t="s">
        <v>43</v>
      </c>
    </row>
    <row r="2" customFormat="false" ht="15" hidden="false" customHeight="false" outlineLevel="0" collapsed="false">
      <c r="A2" s="16" t="s">
        <v>44</v>
      </c>
      <c r="B2" s="16" t="s">
        <v>45</v>
      </c>
      <c r="C2" s="16" t="s">
        <v>46</v>
      </c>
      <c r="D2" s="16" t="s">
        <v>47</v>
      </c>
    </row>
    <row r="3" customFormat="false" ht="15" hidden="false" customHeight="false" outlineLevel="0" collapsed="false">
      <c r="A3" s="16" t="s">
        <v>48</v>
      </c>
      <c r="B3" s="16" t="s">
        <v>49</v>
      </c>
      <c r="C3" s="16" t="s">
        <v>50</v>
      </c>
      <c r="D3" s="16" t="s">
        <v>51</v>
      </c>
    </row>
    <row r="4" customFormat="false" ht="15" hidden="false" customHeight="false" outlineLevel="0" collapsed="false">
      <c r="A4" s="16" t="s">
        <v>52</v>
      </c>
      <c r="B4" s="16" t="s">
        <v>53</v>
      </c>
      <c r="C4" s="16" t="s">
        <v>54</v>
      </c>
      <c r="D4" s="16" t="s">
        <v>47</v>
      </c>
    </row>
    <row r="5" customFormat="false" ht="15" hidden="false" customHeight="false" outlineLevel="0" collapsed="false">
      <c r="A5" s="16" t="s">
        <v>55</v>
      </c>
      <c r="B5" s="16" t="s">
        <v>56</v>
      </c>
      <c r="C5" s="16" t="s">
        <v>57</v>
      </c>
      <c r="D5" s="16" t="s">
        <v>58</v>
      </c>
    </row>
    <row r="6" customFormat="false" ht="15" hidden="false" customHeight="false" outlineLevel="0" collapsed="false">
      <c r="A6" s="16" t="s">
        <v>59</v>
      </c>
      <c r="B6" s="16" t="s">
        <v>60</v>
      </c>
      <c r="C6" s="16" t="s">
        <v>61</v>
      </c>
      <c r="D6" s="1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2026-10-03T08:06:45Z</dcterms:created>
  <dc:creator>openpyxl</dc:creator>
  <dc:description/>
  <dc:language>en-US</dc:language>
  <cp:lastModifiedBy/>
  <dcterms:modified xsi:type="dcterms:W3CDTF">2026-10-03T08:06:45Z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